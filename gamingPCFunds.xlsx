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\Downloads\"/>
    </mc:Choice>
  </mc:AlternateContent>
  <xr:revisionPtr revIDLastSave="0" documentId="13_ncr:1_{9A3A8E3D-49FD-48FC-9C2B-AF05E0249DE7}" xr6:coauthVersionLast="47" xr6:coauthVersionMax="47" xr10:uidLastSave="{00000000-0000-0000-0000-000000000000}"/>
  <bookViews>
    <workbookView xWindow="-28920" yWindow="-3210" windowWidth="29040" windowHeight="15720" xr2:uid="{5738C114-AE19-4C2E-908A-C52CB70B2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N31" i="1"/>
  <c r="N33" i="1" s="1"/>
  <c r="N29" i="1"/>
  <c r="E6" i="1"/>
  <c r="E7" i="1"/>
  <c r="E8" i="1"/>
  <c r="E9" i="1"/>
  <c r="E10" i="1"/>
  <c r="E11" i="1"/>
  <c r="E5" i="1"/>
  <c r="E4" i="1"/>
  <c r="E3" i="1"/>
  <c r="H14" i="1"/>
  <c r="N32" i="1" l="1"/>
  <c r="H16" i="1"/>
  <c r="H17" i="1" s="1"/>
  <c r="H18" i="1" l="1"/>
</calcChain>
</file>

<file path=xl/sharedStrings.xml><?xml version="1.0" encoding="utf-8"?>
<sst xmlns="http://schemas.openxmlformats.org/spreadsheetml/2006/main" count="70" uniqueCount="43">
  <si>
    <t>Date</t>
  </si>
  <si>
    <t>Part</t>
  </si>
  <si>
    <t>Cost</t>
  </si>
  <si>
    <t>Total</t>
  </si>
  <si>
    <t>MAX SAVED</t>
  </si>
  <si>
    <t>Retailer</t>
  </si>
  <si>
    <t>Amazon UK</t>
  </si>
  <si>
    <t>LEFT</t>
  </si>
  <si>
    <t>NOTES</t>
  </si>
  <si>
    <t>Value is that of the savings account, check twice monthly.</t>
  </si>
  <si>
    <t>Dates to check: 1st, 15th.</t>
  </si>
  <si>
    <t>Unless changes are made to savings account (update on the day of transaction), only update on those days.</t>
  </si>
  <si>
    <t>Links</t>
  </si>
  <si>
    <t>here</t>
  </si>
  <si>
    <t>Samsung Odyssey G5 27"</t>
  </si>
  <si>
    <t>Amount (Savings)</t>
  </si>
  <si>
    <t>Amount (Cash)</t>
  </si>
  <si>
    <t>Games</t>
  </si>
  <si>
    <t>Compatability</t>
  </si>
  <si>
    <t>Price</t>
  </si>
  <si>
    <t>PLATINUM</t>
  </si>
  <si>
    <t>Stardew Valley</t>
  </si>
  <si>
    <t>NATIVE</t>
  </si>
  <si>
    <t>Satisfactory</t>
  </si>
  <si>
    <t>Link</t>
  </si>
  <si>
    <t>Amount</t>
  </si>
  <si>
    <t>% SAVED</t>
  </si>
  <si>
    <t>Lexar DDR5 RAM 32GB Kit (2x16GB)</t>
  </si>
  <si>
    <t>Launch 84 keys 76%</t>
  </si>
  <si>
    <t>System76</t>
  </si>
  <si>
    <t>APPS TO INSTALL</t>
  </si>
  <si>
    <t>Godot 4</t>
  </si>
  <si>
    <t>Zed</t>
  </si>
  <si>
    <t>Linux Proton</t>
  </si>
  <si>
    <t>Thermalright Peerless Assassin 120 SE Black</t>
  </si>
  <si>
    <t>Montech AIR 903</t>
  </si>
  <si>
    <t>CREATIVE Pebble V3</t>
  </si>
  <si>
    <t>AMD Ryzen 7 7700X</t>
  </si>
  <si>
    <t>CORSAIR RM750e (2025)</t>
  </si>
  <si>
    <t>MSI PRO B850-S WIFI 6E</t>
  </si>
  <si>
    <t>Crucial P310 2TB SSD M.2</t>
  </si>
  <si>
    <t>OS to use: CachyOS Cosmic</t>
  </si>
  <si>
    <t>Sapphire technology Pure AMD Radeon RX 9060 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</si>
</sst>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£-809]* #,##0.00_-;\-[$£-809]* #,##0.00_-;_-[$£-8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F11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2" borderId="2" xfId="0" applyFill="1" applyBorder="1"/>
    <xf numFmtId="0" fontId="0" fillId="4" borderId="2" xfId="0" applyFill="1" applyBorder="1"/>
    <xf numFmtId="14" fontId="0" fillId="9" borderId="3" xfId="0" applyNumberFormat="1" applyFill="1" applyBorder="1"/>
    <xf numFmtId="0" fontId="0" fillId="0" borderId="3" xfId="0" applyBorder="1"/>
    <xf numFmtId="0" fontId="0" fillId="3" borderId="6" xfId="0" applyFill="1" applyBorder="1"/>
    <xf numFmtId="0" fontId="0" fillId="0" borderId="7" xfId="0" applyBorder="1"/>
    <xf numFmtId="0" fontId="0" fillId="3" borderId="4" xfId="0" applyFill="1" applyBorder="1"/>
    <xf numFmtId="0" fontId="0" fillId="0" borderId="1" xfId="0" applyBorder="1"/>
    <xf numFmtId="0" fontId="0" fillId="13" borderId="6" xfId="0" applyFill="1" applyBorder="1"/>
    <xf numFmtId="0" fontId="0" fillId="12" borderId="2" xfId="0" applyFill="1" applyBorder="1"/>
    <xf numFmtId="0" fontId="0" fillId="6" borderId="2" xfId="0" applyFill="1" applyBorder="1"/>
    <xf numFmtId="0" fontId="0" fillId="5" borderId="5" xfId="0" applyFill="1" applyBorder="1"/>
    <xf numFmtId="0" fontId="0" fillId="10" borderId="6" xfId="0" applyFill="1" applyBorder="1"/>
    <xf numFmtId="0" fontId="0" fillId="0" borderId="0" xfId="0" applyAlignment="1">
      <alignment wrapText="1"/>
    </xf>
    <xf numFmtId="0" fontId="0" fillId="14" borderId="2" xfId="0" applyFill="1" applyBorder="1"/>
    <xf numFmtId="0" fontId="3" fillId="15" borderId="5" xfId="2" applyFill="1" applyBorder="1"/>
    <xf numFmtId="0" fontId="3" fillId="15" borderId="6" xfId="2" applyFill="1" applyBorder="1"/>
    <xf numFmtId="0" fontId="2" fillId="3" borderId="6" xfId="0" applyFont="1" applyFill="1" applyBorder="1" applyAlignment="1">
      <alignment vertical="center" wrapText="1"/>
    </xf>
    <xf numFmtId="0" fontId="0" fillId="3" borderId="9" xfId="0" applyFill="1" applyBorder="1"/>
    <xf numFmtId="0" fontId="0" fillId="13" borderId="5" xfId="0" applyFill="1" applyBorder="1"/>
    <xf numFmtId="44" fontId="0" fillId="5" borderId="4" xfId="3" applyFont="1" applyFill="1" applyBorder="1"/>
    <xf numFmtId="44" fontId="0" fillId="5" borderId="6" xfId="3" applyFont="1" applyFill="1" applyBorder="1"/>
    <xf numFmtId="44" fontId="0" fillId="5" borderId="5" xfId="3" applyFont="1" applyFill="1" applyBorder="1"/>
    <xf numFmtId="44" fontId="0" fillId="6" borderId="4" xfId="0" applyNumberFormat="1" applyFill="1" applyBorder="1"/>
    <xf numFmtId="44" fontId="0" fillId="7" borderId="8" xfId="3" applyFont="1" applyFill="1" applyBorder="1"/>
    <xf numFmtId="0" fontId="0" fillId="16" borderId="2" xfId="0" applyFill="1" applyBorder="1"/>
    <xf numFmtId="0" fontId="0" fillId="8" borderId="2" xfId="0" applyFill="1" applyBorder="1"/>
    <xf numFmtId="44" fontId="0" fillId="9" borderId="6" xfId="3" applyFont="1" applyFill="1" applyBorder="1"/>
    <xf numFmtId="44" fontId="0" fillId="9" borderId="4" xfId="3" applyFont="1" applyFill="1" applyBorder="1"/>
    <xf numFmtId="164" fontId="0" fillId="9" borderId="6" xfId="0" applyNumberFormat="1" applyFill="1" applyBorder="1"/>
    <xf numFmtId="0" fontId="0" fillId="17" borderId="2" xfId="0" applyFill="1" applyBorder="1"/>
    <xf numFmtId="44" fontId="0" fillId="17" borderId="4" xfId="0" applyNumberFormat="1" applyFill="1" applyBorder="1"/>
    <xf numFmtId="44" fontId="0" fillId="17" borderId="6" xfId="0" applyNumberFormat="1" applyFill="1" applyBorder="1"/>
    <xf numFmtId="0" fontId="0" fillId="0" borderId="4" xfId="0" applyBorder="1"/>
    <xf numFmtId="0" fontId="0" fillId="0" borderId="2" xfId="0" applyBorder="1"/>
    <xf numFmtId="0" fontId="0" fillId="0" borderId="10" xfId="0" applyBorder="1"/>
    <xf numFmtId="44" fontId="0" fillId="0" borderId="3" xfId="3" applyFont="1" applyBorder="1"/>
    <xf numFmtId="0" fontId="0" fillId="0" borderId="11" xfId="0" applyBorder="1"/>
    <xf numFmtId="0" fontId="0" fillId="0" borderId="9" xfId="0" applyBorder="1"/>
    <xf numFmtId="44" fontId="0" fillId="0" borderId="8" xfId="3" applyFont="1" applyBorder="1"/>
    <xf numFmtId="14" fontId="0" fillId="0" borderId="6" xfId="0" applyNumberFormat="1" applyBorder="1"/>
    <xf numFmtId="0" fontId="0" fillId="0" borderId="6" xfId="0" applyBorder="1"/>
    <xf numFmtId="0" fontId="0" fillId="0" borderId="5" xfId="0" applyBorder="1"/>
    <xf numFmtId="0" fontId="3" fillId="0" borderId="3" xfId="2" applyBorder="1"/>
    <xf numFmtId="0" fontId="3" fillId="0" borderId="8" xfId="2" applyBorder="1"/>
    <xf numFmtId="44" fontId="0" fillId="0" borderId="6" xfId="3" applyFont="1" applyBorder="1"/>
    <xf numFmtId="44" fontId="0" fillId="0" borderId="5" xfId="3" applyFont="1" applyBorder="1"/>
    <xf numFmtId="0" fontId="0" fillId="0" borderId="12" xfId="0" applyBorder="1"/>
    <xf numFmtId="0" fontId="0" fillId="0" borderId="13" xfId="0" applyBorder="1"/>
    <xf numFmtId="44" fontId="0" fillId="0" borderId="10" xfId="0" applyNumberFormat="1" applyBorder="1"/>
    <xf numFmtId="9" fontId="0" fillId="0" borderId="3" xfId="1" applyFont="1" applyBorder="1"/>
    <xf numFmtId="10" fontId="0" fillId="11" borderId="3" xfId="1" applyNumberFormat="1" applyFont="1" applyFill="1" applyBorder="1"/>
    <xf numFmtId="0" fontId="3" fillId="0" borderId="0" xfId="2"/>
    <xf numFmtId="44" fontId="0" fillId="7" borderId="2" xfId="3" applyFont="1" applyFill="1" applyBorder="1"/>
    <xf numFmtId="44" fontId="0" fillId="17" borderId="6" xfId="3" applyFont="1" applyFill="1" applyBorder="1"/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Amount Saved For Gaming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5673665791776"/>
          <c:y val="0.18135003479471123"/>
          <c:w val="0.77754374453193353"/>
          <c:h val="0.4990854744409558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Sheet1!$B$3:$B$37</c:f>
              <c:numCache>
                <c:formatCode>m/d/yyyy</c:formatCode>
                <c:ptCount val="35"/>
                <c:pt idx="0">
                  <c:v>46296</c:v>
                </c:pt>
                <c:pt idx="1">
                  <c:v>46299</c:v>
                </c:pt>
                <c:pt idx="2">
                  <c:v>46306</c:v>
                </c:pt>
                <c:pt idx="3">
                  <c:v>46307</c:v>
                </c:pt>
                <c:pt idx="4">
                  <c:v>46308</c:v>
                </c:pt>
                <c:pt idx="5">
                  <c:v>46309</c:v>
                </c:pt>
                <c:pt idx="6">
                  <c:v>46311</c:v>
                </c:pt>
                <c:pt idx="7">
                  <c:v>46314</c:v>
                </c:pt>
                <c:pt idx="8">
                  <c:v>46317</c:v>
                </c:pt>
                <c:pt idx="9">
                  <c:v>46318</c:v>
                </c:pt>
              </c:numCache>
            </c:numRef>
          </c:cat>
          <c:val>
            <c:numRef>
              <c:f>Sheet1!$E$3:$E$37</c:f>
              <c:numCache>
                <c:formatCode>_("£"* #,##0.00_);_("£"* \(#,##0.00\);_("£"* "-"??_);_(@_)</c:formatCode>
                <c:ptCount val="35"/>
                <c:pt idx="0">
                  <c:v>350.65</c:v>
                </c:pt>
                <c:pt idx="1">
                  <c:v>353.2</c:v>
                </c:pt>
                <c:pt idx="2">
                  <c:v>363.2</c:v>
                </c:pt>
                <c:pt idx="3">
                  <c:v>365.14</c:v>
                </c:pt>
                <c:pt idx="4">
                  <c:v>365.23999999999995</c:v>
                </c:pt>
                <c:pt idx="5">
                  <c:v>365.4</c:v>
                </c:pt>
                <c:pt idx="6">
                  <c:v>366.46</c:v>
                </c:pt>
                <c:pt idx="7">
                  <c:v>416.46</c:v>
                </c:pt>
                <c:pt idx="8">
                  <c:v>416.81</c:v>
                </c:pt>
                <c:pt idx="9">
                  <c:v>417.71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D-4D53-A588-169CF89ED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86568"/>
        <c:axId val="632686208"/>
      </c:lineChart>
      <c:dateAx>
        <c:axId val="632686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layout>
            <c:manualLayout>
              <c:xMode val="edge"/>
              <c:yMode val="edge"/>
              <c:x val="0.5011237970253718"/>
              <c:y val="0.87859606499847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686208"/>
        <c:crosses val="autoZero"/>
        <c:auto val="1"/>
        <c:lblOffset val="100"/>
        <c:baseTimeUnit val="days"/>
      </c:dateAx>
      <c:valAx>
        <c:axId val="6326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Saved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686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Saved For Games</a:t>
            </a:r>
          </a:p>
        </c:rich>
      </c:tx>
      <c:layout>
        <c:manualLayout>
          <c:xMode val="edge"/>
          <c:yMode val="edge"/>
          <c:x val="0.29935320292462159"/>
          <c:y val="3.3440815399175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5125649394138"/>
          <c:y val="0.1480018405720481"/>
          <c:w val="0.86166468557568754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Sheet1!$J$26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Sheet1!$I$27:$I$37</c:f>
              <c:numCache>
                <c:formatCode>m/d/yyyy</c:formatCode>
                <c:ptCount val="11"/>
                <c:pt idx="0">
                  <c:v>46307</c:v>
                </c:pt>
              </c:numCache>
            </c:numRef>
          </c:cat>
          <c:val>
            <c:numRef>
              <c:f>Sheet1!$J$27:$J$37</c:f>
              <c:numCache>
                <c:formatCode>_("£"* #,##0.00_);_("£"* \(#,##0.00\);_("£"* "-"??_);_(@_)</c:formatCode>
                <c:ptCount val="1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7-4D7D-8CDD-82B54BA8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78144"/>
        <c:axId val="536785344"/>
      </c:lineChart>
      <c:dateAx>
        <c:axId val="53677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85344"/>
        <c:crosses val="autoZero"/>
        <c:auto val="1"/>
        <c:lblOffset val="100"/>
        <c:baseTimeUnit val="days"/>
      </c:dateAx>
      <c:valAx>
        <c:axId val="5367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</a:t>
                </a:r>
                <a:r>
                  <a:rPr lang="en-GB" baseline="0"/>
                  <a:t> Saved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7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381952</xdr:colOff>
      <xdr:row>3</xdr:row>
      <xdr:rowOff>40957</xdr:rowOff>
    </xdr:from>
    <xdr:to>
      <xdr:col>18</xdr:col>
      <xdr:colOff>77152</xdr:colOff>
      <xdr:row>18</xdr:row>
      <xdr:rowOff>63817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430530</xdr:colOff>
      <xdr:row>28</xdr:row>
      <xdr:rowOff>189547</xdr:rowOff>
    </xdr:from>
    <xdr:to>
      <xdr:col>8</xdr:col>
      <xdr:colOff>398146</xdr:colOff>
      <xdr:row>43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sapphire-technology-Radeon-Gaming-HDMI-DP/dp/B0F8C5T1B2/ref=sr_1_2?crid=3PTX3SI3QOMCF&amp;dib=eyJ2IjoiMSJ9.20SD8dsD28MqYIJTs1NKanZtMeXSym4fcj8xt26-BFYTu9j_8LDfgpIorxIKQlbgnaudmHrOlKwvDkbTa6yHIsbNWlQj6FvNsjHHk4gZI3HVEse8OeP2TjlY6GLp_qGmW4xDiMyraEfysoghcYP-vYcC8aR6t8pLJ-ualFPhuoDyveH2SGwKlm6deYcZj89wluOlaDCqT3hKl3Dw9mpDVe8r4g5KtapXqd6JhOicVbLaJzgmhN57I-rUJY8d4SkDPhOvv6snfHZ19JO_QrDHEIOaKXxBHiONo8nIzPhrlGM.auWxV-Zg_MggTwFrbpjEsTcPmCnSAtXbFFE5bkDzYJU&amp;dib_tag=se&amp;keywords=AMD+radeon&amp;qid=1792786220&amp;s=computers&amp;sprefix=amd+radeon%2Ccomputers%2C100&amp;sr=1-2" TargetMode="External"/><Relationship Id="rId13" Type="http://schemas.openxmlformats.org/officeDocument/2006/relationships/hyperlink" Target="https://www.amazon.co.uk/Creative-Minimalistic-Enhancement-Bluetooth-Converter/dp/B08F5BQZL8/ref=sr_1_3?crid=177ODA78TGRD&amp;dib=eyJ2IjoiMSJ9.yYNUqqqzdrISkxu934PiiCUYNQY3SBm-XvoWMvUy8yj9eJGdfByTrER2agud7vXVPMVyZ3uqS7olVZuJO2CVKV9zzvoDaccp74M06YTL1ZIs5_qgIJpXVDjMXw-H37yW6wACZiW0TpicN1pyweKy1tvLUIiXBho1jBATXx--2-wA3qvK-EcKO2fNkZm7FJt7jSa2KGacFmL-Mnc6kVVVquFxKBw_cPoE89pNt9EDtr0.Hd-dq2m5AKdsS_iv4tqf9L60KOOT5PaoKk3iwidao10&amp;dib_tag=se&amp;keywords=USB%2Bc%2Bspeaker&amp;qid=1792176150&amp;sprefix=usb%2Bc%2Bspeaker%2Caps%2C112&amp;sr=8-3&amp;th=1" TargetMode="External"/><Relationship Id="rId3" Type="http://schemas.openxmlformats.org/officeDocument/2006/relationships/hyperlink" Target="https://www.amazon.co.uk/Montech-AIR-903-MAX-Midi-Tower/dp/B0C98RRPXL/ref=sr_1_1?crid=3SSGD3R4TAA2B&amp;dib=eyJ2IjoiMSJ9.3wUX2lz3K6J7fwvd3ucxiWkiDGdCpBwIAtPvbx6UBSJ7VP_QDyFnEjHFUocyVNlRxeDMnUfhRT-4eoYU8xkCWb-wOZ_ca8Nsjl1TQ9FcxYb7eNaRjEuoqC_PVmxVI4G-cQ-gPJQ2QbZ_M_wS8fbS9W5GG1dQXyeylFTGmObALZlliq7MQhePjzbmNmCBH8FMm35ZXvRMk3Bsw5Ha_1VyUDy9OzN2wqNsu2P41iMTRn4.P_wgRl-wH6k_yCMAR6FTHsbRcxdZJy33ud8FCluC9gU&amp;dib_tag=se&amp;keywords=Montech%2BAir%2B903%2BBase&amp;qid=1792173754&amp;sprefix=montech%2Bair%2B903%2Bbase%2Caps%2C155&amp;sr=8-1&amp;th=1" TargetMode="External"/><Relationship Id="rId7" Type="http://schemas.openxmlformats.org/officeDocument/2006/relationships/hyperlink" Target="https://www.amazon.co.uk/Lexar-288-Pin-High-Performance-Computer-CL36-40-40-96/dp/B0GL7SCWK2/ref=sr_1_1_sspa?crid=2FCC0FSXPUJY0&amp;dib=eyJ2IjoiMSJ9.R4GZXrb8RT6w4QsEaP-vvUxgR7HgmSpWxdOCmXFFSQ1XOmfVBZxwEYCRnHaDPbS2KdxsuOxYj4LL90UeAyx_aNGVCalJPsw91xeD03EYOQQOrpzp9Iq-ieCtich4u05t3QZCBvmH9m1Hgo5Ur14VbTIyhgqD2RAYwjW5qay5Jd982B5Jtl314C7apg6A4KTO-3dZS2ElebjIeBcYtBKRVamYLj8gfVzBpRcv9Jt3RiY.iwx5NXlPi-RUVjdsQ3l38-5cSzGrb0IWjt2x6CkKfZM&amp;dib_tag=se&amp;keywords=ddr5&amp;qid=1791830188&amp;refinements=p_36%3A-51000&amp;rnid=428432031&amp;sprefix=ddr5%2Caps%2C114&amp;sr=8-1-spons&amp;aref=fPFQMVjvbP&amp;sp_csd=d2lkZ2V0TmFtZT1zcF9hdGY&amp;th=1" TargetMode="External"/><Relationship Id="rId12" Type="http://schemas.openxmlformats.org/officeDocument/2006/relationships/hyperlink" Target="https://store.steampowered.com/app/413150/Stardew_Valley/" TargetMode="External"/><Relationship Id="rId2" Type="http://schemas.openxmlformats.org/officeDocument/2006/relationships/hyperlink" Target="https://www.amazon.co.uk/MSI-PRO-B850-S-WIFI6E-Motherboard/dp/B096Y42JTK/ref=sr_1_1?dib=eyJ2IjoiMSJ9.tSofDfMZUD2ieVgm3g5VRAzEETxJ50H3OQlOrnOwKdNb4CHI7rNjbEDp04JdXSVgeNbb3ESCEmG3Sxk-U3CgblayEYkUL8gI-TSy1anfqSUpM0SLd4g5HIbjQFi0hpgIC5j1SzNUtUR0iplBV6trPiF3AV8Ribktm6JHRy5KTqA8ZYeGlQfpNWawHuF4NfbsIi2-oY8K1HS7lL-bRWLZHw-ZHiI8_zq3i7OPqQ3np_1u44Hup0MPpNqyl_kGpX4WDT-PdNq0EUkgsvFYo11qO7TYkEu7MwuqKOasDLVTdQc.Gc_1b28MfzOCBLAMh6n_3GBMfrFMdggJ6krt9OCI6IM&amp;dib_tag=se&amp;keywords=msi+motherboard&amp;qid=1792778435&amp;refinements=p_89%3AMSI&amp;rnid=1632651031&amp;s=computers&amp;sr=1-1" TargetMode="External"/><Relationship Id="rId1" Type="http://schemas.openxmlformats.org/officeDocument/2006/relationships/hyperlink" Target="https://system76.com/keyboards/launch" TargetMode="External"/><Relationship Id="rId6" Type="http://schemas.openxmlformats.org/officeDocument/2006/relationships/hyperlink" Target="https://www.amazon.co.uk/Crucial-Internal-Gaming-Desktop-Compatible/dp/B0DC8RVRBZ/ref=sr_1_2?crid=2LSWI23L4VC9&amp;dib=eyJ2IjoiMSJ9.dc0-Gb3trTqVIQOvemc2TAL0SI-LVG2eTO0wdkaWBav9qM_h6tftN4yBwzWL-7VaxTXVVumVlcP2eVwn3pcR2K0t42A3_boykcL7xmMF-LDkMdqhMQaxqPy8pXwXv9rxAxMo6mRNFdZJNBvPw060ekQEBr6qBhwkKIGr2aYvK7lg5WOUmC5vKyRY1OZLa2dWmgGe7Y9sUg-ngW0BrZA5g1o482_8xhVhlGvAVcVvcepwag2A-RH6YZMrVQrGeoB1myj7uFhgv6FIfMi6EQZWHQ-xzciPZDZ8I_pT1GmkBbw.l0Mop61t0YUUGzq1SCdQrqvnqgwxX5sWVu8j-xNBIx4&amp;dib_tag=se&amp;keywords=M.2+ssd+2tb&amp;qid=1792778712&amp;s=computers&amp;sprefix=m.2+ssd+2tb%2Ccomputers%2C127&amp;sr=1-2" TargetMode="External"/><Relationship Id="rId11" Type="http://schemas.openxmlformats.org/officeDocument/2006/relationships/hyperlink" Target="https://store.steampowered.com/app/526870/Satisfactory/" TargetMode="External"/><Relationship Id="rId5" Type="http://schemas.openxmlformats.org/officeDocument/2006/relationships/hyperlink" Target="https://www.amazon.co.uk/CORSAIR-RM750e-Modular-Low-Noise-12V-2x6/dp/B0DMTLSJC3/ref=sr_1_1?crid=1N89W0LB9EOGA&amp;dib=eyJ2IjoiMSJ9.7Z8t7iRHfiQbZpcpxBpoYysmsBFobOTi3PtW4f_SKrXlTDjCLm5C9614KP7r4Gg-kxir06-BRB8EKgCzsbFSxpG92cB7ObhjHNwmPkAWfqm3QBqyQLTiphinauK1rcAxEis59PUhaqA-tCpDLu9K5bVG3JIitr2JwgcF4nKNsdx4h9a4HF67UXrks8Pn7azkWdrGxMueydyafU21RgoesmZMA8Nfs2ZTo9CsdroqoC_Efel0_ATNUKLSX7dAIP55Xi4NA47EaKKS4D3uTvowVIQJEOu785UIXjKn3QbbEGQ.USpvkx5XuCaqTQTOvZXIZG4NEhc0dV2z2_IRlmTp60Q&amp;dib_tag=se&amp;keywords=corsair%2Brm750e&amp;qid=1792434702&amp;s=computers&amp;sprefix=Corsair%2BRM%2Ccomputers%2C219&amp;sr=1-1&amp;th=1" TargetMode="External"/><Relationship Id="rId10" Type="http://schemas.openxmlformats.org/officeDocument/2006/relationships/hyperlink" Target="https://www.amazon.co.uk/Samsung-Odyssey-LS27CG552EUXXU-Gaming-Monitor/dp/B0CP851QXD/ref=sr_1_2?crid=1GYTTICYZ4W3B&amp;dib=eyJ2IjoiMSJ9.Nv7CjWIZHbTlA-d-z81Jr7336GOoRjKyTSuDg_EnRAId002EiI52zmIC84esPiOFNF_e6WPqbW22zKQ2p0XBjcYPQEdGZEQZlz_CzJLy0naoZ8QIK7eHdTgLS5Mlv3DfTuZTSd0eCQj1-9rF1UrtJPTHz91EkScTQulJM1Lxji2J_DBocymzx_nmkkgDxsTfDm4kZXAg1KI3MbitwvoFqiRI8-Ct4WE4A97NWz6jKsc.h1Ipye-D0t6bEIJT7ruD_i_GgdYJiuj0g5IhQTRq7H4&amp;dib_tag=se&amp;keywords=curved%2Bgaming%2Bmonitor&amp;qid=1791316695&amp;refinements=p_36%3A-22000%2Cp_n_g-1004220642091%3A12855889031%2Cp_n_g-101013577303111%3A65675341031%2Cp_n_g-1003359136111%3A28934369031&amp;rnid=28934366031&amp;sprefix=curve%2Caps%2C164&amp;sr=8-2&amp;th=1" TargetMode="External"/><Relationship Id="rId4" Type="http://schemas.openxmlformats.org/officeDocument/2006/relationships/hyperlink" Target="https://www.amazon.co.uk/Thermalright-Peerless-Assassin-120-Black/dp/B0D8TDRQQR?source=ps-sl-shoppingads-lpcontext&amp;ref_=fplfs&amp;smid=A572SBHRZUAU5&amp;th=1" TargetMode="External"/><Relationship Id="rId9" Type="http://schemas.openxmlformats.org/officeDocument/2006/relationships/hyperlink" Target="https://www.amazon.co.uk/AMD-RyzenTM-7700X-Processor-16-thread/dp/B0BBHHT8LY/ref=sr_1_1?crid=1US5FDTL8J30I&amp;dib=eyJ2IjoiMSJ9.ADQ-kc3Xsr6c36at1I7OMt-yG472kMF82XvmxjmrCQlsInxTtH0c25d59_uP1UIdrESaVneWlUCwLHhkTIrcCaSV9lBp9xkq_pALggh8DxUWttnOmp2t7x_Iwa6UmUexo8V6a5ifVF4jZ5LKVlEBmdOlAlpbsc3gYFnu-RKYrl1F8JNpyqrbrWgYlI_ROkc5JaQDorUkx9ZhVk_wohn0XYZr14ZoGCfiqCx-K5MeFCs.ed_DWTGQkuJgqk3o3Y09Ad8Llar2kgCd_qCsdnSP5YQ&amp;dib_tag=se&amp;keywords=AMD%2BRyzen%2B7%2B7700X%2BProcessor&amp;qid=1792429122&amp;sprefix=amd%2Bryzen%2B7%2B7700x%2Bprocessor%2Caps%2C148&amp;sr=8-1&amp;th=1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8EC0-6FDB-49E6-86B8-06EF65E9F4AD}">
  <dimension ref="A1:Q37"/>
  <sheetViews>
    <sheetView tabSelected="1" workbookViewId="0">
      <selection activeCell="J21" sqref="J21"/>
    </sheetView>
  </sheetViews>
  <sheetFormatPr defaultRowHeight="14.4" x14ac:dyDescent="0.3"/>
  <cols>
    <col min="2" max="2" width="11.33203125" customWidth="1"/>
    <col min="3" max="3" width="15.6640625" customWidth="1"/>
    <col min="4" max="4" width="13.6640625" customWidth="1"/>
    <col min="5" max="5" width="10.5546875" customWidth="1"/>
    <col min="6" max="6" width="9.109375" bestFit="1" customWidth="1"/>
    <col min="7" max="7" width="48.88671875" customWidth="1"/>
    <col min="8" max="8" width="13.33203125" customWidth="1"/>
    <col min="9" max="9" width="11.88671875" customWidth="1"/>
    <col min="12" max="12" width="14.33203125" customWidth="1"/>
    <col min="13" max="13" width="13.33203125" customWidth="1"/>
    <col min="17" max="17" width="15.109375" customWidth="1"/>
  </cols>
  <sheetData>
    <row r="1" spans="1:10" x14ac:dyDescent="0.3">
      <c r="B1" s="8"/>
      <c r="C1" s="8"/>
    </row>
    <row r="2" spans="1:10" x14ac:dyDescent="0.3">
      <c r="A2" s="4"/>
      <c r="B2" s="27" t="s">
        <v>0</v>
      </c>
      <c r="C2" s="26" t="s">
        <v>15</v>
      </c>
      <c r="D2" s="26" t="s">
        <v>16</v>
      </c>
      <c r="E2" s="31" t="s">
        <v>3</v>
      </c>
      <c r="G2" s="1" t="s">
        <v>1</v>
      </c>
      <c r="H2" s="2" t="s">
        <v>2</v>
      </c>
      <c r="I2" s="10" t="s">
        <v>5</v>
      </c>
      <c r="J2" s="15" t="s">
        <v>12</v>
      </c>
    </row>
    <row r="3" spans="1:10" x14ac:dyDescent="0.3">
      <c r="A3" s="4"/>
      <c r="B3" s="3">
        <v>46296</v>
      </c>
      <c r="C3" s="28">
        <v>350.65</v>
      </c>
      <c r="D3" s="29">
        <v>0</v>
      </c>
      <c r="E3" s="32">
        <f t="shared" ref="E3:E12" si="0">SUM(C3,D3)</f>
        <v>350.65</v>
      </c>
      <c r="G3" s="7" t="s">
        <v>37</v>
      </c>
      <c r="H3" s="21">
        <v>192.83</v>
      </c>
      <c r="I3" s="9" t="s">
        <v>6</v>
      </c>
      <c r="J3" s="17" t="s">
        <v>13</v>
      </c>
    </row>
    <row r="4" spans="1:10" x14ac:dyDescent="0.3">
      <c r="A4" s="4"/>
      <c r="B4" s="3">
        <v>46299</v>
      </c>
      <c r="C4" s="28">
        <v>350.65</v>
      </c>
      <c r="D4" s="30">
        <v>2.5499999999999998</v>
      </c>
      <c r="E4" s="33">
        <f t="shared" si="0"/>
        <v>353.2</v>
      </c>
      <c r="G4" s="5" t="s">
        <v>42</v>
      </c>
      <c r="H4" s="22">
        <v>529.99</v>
      </c>
      <c r="I4" s="9" t="s">
        <v>6</v>
      </c>
      <c r="J4" s="17" t="s">
        <v>13</v>
      </c>
    </row>
    <row r="5" spans="1:10" x14ac:dyDescent="0.3">
      <c r="A5" s="4"/>
      <c r="B5" s="3">
        <v>46306</v>
      </c>
      <c r="C5" s="28">
        <v>350.65</v>
      </c>
      <c r="D5" s="28">
        <v>12.55</v>
      </c>
      <c r="E5" s="33">
        <f t="shared" si="0"/>
        <v>363.2</v>
      </c>
      <c r="G5" s="5" t="s">
        <v>27</v>
      </c>
      <c r="H5" s="22">
        <v>419.99</v>
      </c>
      <c r="I5" s="9" t="s">
        <v>6</v>
      </c>
      <c r="J5" s="17" t="s">
        <v>13</v>
      </c>
    </row>
    <row r="6" spans="1:10" x14ac:dyDescent="0.3">
      <c r="A6" s="4"/>
      <c r="B6" s="3">
        <v>46307</v>
      </c>
      <c r="C6" s="28">
        <v>350.65</v>
      </c>
      <c r="D6" s="28">
        <v>14.49</v>
      </c>
      <c r="E6" s="33">
        <f t="shared" si="0"/>
        <v>365.14</v>
      </c>
      <c r="G6" s="5" t="s">
        <v>40</v>
      </c>
      <c r="H6" s="22">
        <v>229.99</v>
      </c>
      <c r="I6" s="9" t="s">
        <v>6</v>
      </c>
      <c r="J6" s="17" t="s">
        <v>13</v>
      </c>
    </row>
    <row r="7" spans="1:10" x14ac:dyDescent="0.3">
      <c r="A7" s="4"/>
      <c r="B7" s="3">
        <v>46308</v>
      </c>
      <c r="C7" s="28">
        <v>350.65</v>
      </c>
      <c r="D7" s="28">
        <v>14.59</v>
      </c>
      <c r="E7" s="33">
        <f t="shared" si="0"/>
        <v>365.23999999999995</v>
      </c>
      <c r="G7" s="5" t="s">
        <v>38</v>
      </c>
      <c r="H7" s="22">
        <v>104.99</v>
      </c>
      <c r="I7" s="9" t="s">
        <v>6</v>
      </c>
      <c r="J7" s="17" t="s">
        <v>13</v>
      </c>
    </row>
    <row r="8" spans="1:10" x14ac:dyDescent="0.3">
      <c r="A8" s="4"/>
      <c r="B8" s="3">
        <v>46309</v>
      </c>
      <c r="C8" s="28">
        <v>350.65</v>
      </c>
      <c r="D8" s="28">
        <v>14.75</v>
      </c>
      <c r="E8" s="33">
        <f t="shared" si="0"/>
        <v>365.4</v>
      </c>
      <c r="G8" s="5" t="s">
        <v>34</v>
      </c>
      <c r="H8" s="22">
        <v>27.9</v>
      </c>
      <c r="I8" s="9" t="s">
        <v>6</v>
      </c>
      <c r="J8" s="17" t="s">
        <v>13</v>
      </c>
    </row>
    <row r="9" spans="1:10" x14ac:dyDescent="0.3">
      <c r="A9" s="4"/>
      <c r="B9" s="3">
        <v>46311</v>
      </c>
      <c r="C9" s="28">
        <v>351.07</v>
      </c>
      <c r="D9" s="28">
        <v>15.39</v>
      </c>
      <c r="E9" s="33">
        <f t="shared" si="0"/>
        <v>366.46</v>
      </c>
      <c r="G9" s="5" t="s">
        <v>35</v>
      </c>
      <c r="H9" s="22">
        <v>69.989999999999995</v>
      </c>
      <c r="I9" s="9" t="s">
        <v>6</v>
      </c>
      <c r="J9" s="17" t="s">
        <v>13</v>
      </c>
    </row>
    <row r="10" spans="1:10" x14ac:dyDescent="0.3">
      <c r="A10" s="4"/>
      <c r="B10" s="3">
        <v>46314</v>
      </c>
      <c r="C10" s="28">
        <v>401.07</v>
      </c>
      <c r="D10" s="28">
        <v>15.39</v>
      </c>
      <c r="E10" s="33">
        <f t="shared" si="0"/>
        <v>416.46</v>
      </c>
      <c r="G10" s="5" t="s">
        <v>39</v>
      </c>
      <c r="H10" s="22">
        <v>119.99</v>
      </c>
      <c r="I10" s="9" t="s">
        <v>6</v>
      </c>
      <c r="J10" s="17" t="s">
        <v>13</v>
      </c>
    </row>
    <row r="11" spans="1:10" ht="14.4" customHeight="1" x14ac:dyDescent="0.3">
      <c r="A11" s="4"/>
      <c r="B11" s="3">
        <v>46317</v>
      </c>
      <c r="C11" s="28">
        <v>401.07</v>
      </c>
      <c r="D11" s="28">
        <v>15.74</v>
      </c>
      <c r="E11" s="33">
        <f t="shared" si="0"/>
        <v>416.81</v>
      </c>
      <c r="G11" s="18" t="s">
        <v>28</v>
      </c>
      <c r="H11" s="22">
        <v>215.18</v>
      </c>
      <c r="I11" s="9" t="s">
        <v>29</v>
      </c>
      <c r="J11" s="17" t="s">
        <v>13</v>
      </c>
    </row>
    <row r="12" spans="1:10" x14ac:dyDescent="0.3">
      <c r="A12" s="4"/>
      <c r="B12" s="3">
        <v>46318</v>
      </c>
      <c r="C12" s="28">
        <v>401.07</v>
      </c>
      <c r="D12" s="28">
        <v>16.64</v>
      </c>
      <c r="E12" s="55">
        <f t="shared" si="0"/>
        <v>417.71</v>
      </c>
      <c r="G12" s="5" t="s">
        <v>36</v>
      </c>
      <c r="H12" s="22">
        <v>34.99</v>
      </c>
      <c r="I12" s="9" t="s">
        <v>6</v>
      </c>
      <c r="J12" s="17" t="s">
        <v>13</v>
      </c>
    </row>
    <row r="13" spans="1:10" x14ac:dyDescent="0.3">
      <c r="A13" s="4"/>
      <c r="B13" s="3"/>
      <c r="C13" s="28"/>
      <c r="D13" s="28"/>
      <c r="E13" s="55"/>
      <c r="G13" s="19" t="s">
        <v>14</v>
      </c>
      <c r="H13" s="23">
        <v>139</v>
      </c>
      <c r="I13" s="20" t="s">
        <v>6</v>
      </c>
      <c r="J13" s="16" t="s">
        <v>13</v>
      </c>
    </row>
    <row r="14" spans="1:10" x14ac:dyDescent="0.3">
      <c r="A14" s="4"/>
      <c r="B14" s="3"/>
      <c r="C14" s="28"/>
      <c r="D14" s="28"/>
      <c r="E14" s="55"/>
      <c r="G14" s="11" t="s">
        <v>3</v>
      </c>
      <c r="H14" s="54">
        <f>SUM(H3:H13)</f>
        <v>2084.84</v>
      </c>
    </row>
    <row r="15" spans="1:10" x14ac:dyDescent="0.3">
      <c r="A15" s="4"/>
      <c r="B15" s="3"/>
      <c r="C15" s="28"/>
      <c r="D15" s="28"/>
      <c r="E15" s="55"/>
      <c r="G15" s="6"/>
      <c r="H15" s="6"/>
    </row>
    <row r="16" spans="1:10" x14ac:dyDescent="0.3">
      <c r="A16" s="4"/>
      <c r="B16" s="3"/>
      <c r="C16" s="28"/>
      <c r="D16" s="28"/>
      <c r="E16" s="55"/>
      <c r="G16" s="7" t="s">
        <v>4</v>
      </c>
      <c r="H16" s="24">
        <f>MAX(E3:E37)</f>
        <v>417.71</v>
      </c>
    </row>
    <row r="17" spans="1:17" x14ac:dyDescent="0.3">
      <c r="A17" s="4"/>
      <c r="B17" s="3"/>
      <c r="C17" s="28"/>
      <c r="D17" s="28"/>
      <c r="E17" s="55"/>
      <c r="G17" s="13" t="s">
        <v>26</v>
      </c>
      <c r="H17" s="52">
        <f>H16/H14</f>
        <v>0.20035590261123154</v>
      </c>
    </row>
    <row r="18" spans="1:17" x14ac:dyDescent="0.3">
      <c r="A18" s="4"/>
      <c r="B18" s="3"/>
      <c r="C18" s="28"/>
      <c r="D18" s="28"/>
      <c r="E18" s="55"/>
      <c r="G18" s="12" t="s">
        <v>7</v>
      </c>
      <c r="H18" s="25" t="str">
        <f>IMSUB(H14,H16)</f>
        <v>1667.13</v>
      </c>
    </row>
    <row r="19" spans="1:17" x14ac:dyDescent="0.3">
      <c r="A19" s="4"/>
      <c r="B19" s="3"/>
      <c r="C19" s="28"/>
      <c r="D19" s="28"/>
      <c r="E19" s="55"/>
      <c r="G19" t="s">
        <v>8</v>
      </c>
    </row>
    <row r="20" spans="1:17" x14ac:dyDescent="0.3">
      <c r="A20" s="4"/>
      <c r="B20" s="3"/>
      <c r="C20" s="28"/>
      <c r="D20" s="28"/>
      <c r="E20" s="55"/>
      <c r="G20" t="s">
        <v>9</v>
      </c>
    </row>
    <row r="21" spans="1:17" x14ac:dyDescent="0.3">
      <c r="A21" s="4"/>
      <c r="B21" s="3"/>
      <c r="C21" s="28"/>
      <c r="D21" s="28"/>
      <c r="E21" s="55"/>
      <c r="G21" t="s">
        <v>10</v>
      </c>
    </row>
    <row r="22" spans="1:17" ht="42.6" customHeight="1" x14ac:dyDescent="0.3">
      <c r="A22" s="4"/>
      <c r="B22" s="3"/>
      <c r="C22" s="28"/>
      <c r="D22" s="28"/>
      <c r="E22" s="55"/>
      <c r="G22" s="14" t="s">
        <v>11</v>
      </c>
      <c r="I22" s="53"/>
    </row>
    <row r="23" spans="1:17" x14ac:dyDescent="0.3">
      <c r="A23" s="4"/>
      <c r="B23" s="3"/>
      <c r="C23" s="28"/>
      <c r="D23" s="28"/>
      <c r="E23" s="55"/>
      <c r="G23" t="s">
        <v>41</v>
      </c>
    </row>
    <row r="24" spans="1:17" x14ac:dyDescent="0.3">
      <c r="A24" s="4"/>
      <c r="B24" s="3"/>
      <c r="C24" s="28"/>
      <c r="D24" s="28"/>
      <c r="E24" s="55"/>
      <c r="Q24" t="s">
        <v>30</v>
      </c>
    </row>
    <row r="25" spans="1:17" x14ac:dyDescent="0.3">
      <c r="A25" s="4"/>
      <c r="B25" s="3"/>
      <c r="C25" s="28"/>
      <c r="D25" s="28"/>
      <c r="E25" s="55"/>
      <c r="Q25" t="s">
        <v>31</v>
      </c>
    </row>
    <row r="26" spans="1:17" x14ac:dyDescent="0.3">
      <c r="A26" s="4"/>
      <c r="B26" s="3"/>
      <c r="C26" s="28"/>
      <c r="D26" s="28"/>
      <c r="E26" s="55"/>
      <c r="I26" s="34" t="s">
        <v>0</v>
      </c>
      <c r="J26" s="36" t="s">
        <v>25</v>
      </c>
      <c r="L26" s="35" t="s">
        <v>17</v>
      </c>
      <c r="M26" s="48" t="s">
        <v>18</v>
      </c>
      <c r="N26" s="35" t="s">
        <v>19</v>
      </c>
      <c r="O26" s="49" t="s">
        <v>24</v>
      </c>
      <c r="Q26" t="s">
        <v>32</v>
      </c>
    </row>
    <row r="27" spans="1:17" x14ac:dyDescent="0.3">
      <c r="A27" s="4"/>
      <c r="B27" s="3"/>
      <c r="C27" s="28"/>
      <c r="D27" s="28"/>
      <c r="E27" s="55"/>
      <c r="I27" s="41">
        <v>46307</v>
      </c>
      <c r="J27" s="37">
        <v>0.02</v>
      </c>
      <c r="L27" s="42" t="s">
        <v>21</v>
      </c>
      <c r="M27" s="38" t="s">
        <v>22</v>
      </c>
      <c r="N27" s="46">
        <v>10.99</v>
      </c>
      <c r="O27" s="44" t="s">
        <v>13</v>
      </c>
      <c r="Q27" t="s">
        <v>33</v>
      </c>
    </row>
    <row r="28" spans="1:17" x14ac:dyDescent="0.3">
      <c r="A28" s="4"/>
      <c r="B28" s="3"/>
      <c r="C28" s="28"/>
      <c r="D28" s="28"/>
      <c r="E28" s="55"/>
      <c r="I28" s="41"/>
      <c r="J28" s="37">
        <v>0</v>
      </c>
      <c r="L28" s="42" t="s">
        <v>23</v>
      </c>
      <c r="M28" s="39" t="s">
        <v>20</v>
      </c>
      <c r="N28" s="46">
        <v>33.5</v>
      </c>
      <c r="O28" s="45" t="s">
        <v>13</v>
      </c>
    </row>
    <row r="29" spans="1:17" x14ac:dyDescent="0.3">
      <c r="A29" s="4"/>
      <c r="B29" s="3"/>
      <c r="C29" s="28"/>
      <c r="D29" s="28"/>
      <c r="E29" s="55"/>
      <c r="I29" s="41"/>
      <c r="J29" s="37">
        <v>0</v>
      </c>
      <c r="L29" s="35" t="s">
        <v>3</v>
      </c>
      <c r="N29" s="47">
        <f>SUM(N27:N28)</f>
        <v>44.49</v>
      </c>
    </row>
    <row r="30" spans="1:17" x14ac:dyDescent="0.3">
      <c r="A30" s="4"/>
      <c r="B30" s="3"/>
      <c r="C30" s="28"/>
      <c r="D30" s="28"/>
      <c r="E30" s="55"/>
      <c r="I30" s="41"/>
      <c r="J30" s="37">
        <v>0</v>
      </c>
    </row>
    <row r="31" spans="1:17" x14ac:dyDescent="0.3">
      <c r="A31" s="4"/>
      <c r="B31" s="3"/>
      <c r="C31" s="28"/>
      <c r="D31" s="28"/>
      <c r="E31" s="55"/>
      <c r="I31" s="42"/>
      <c r="J31" s="37">
        <v>0</v>
      </c>
      <c r="M31" s="34" t="s">
        <v>4</v>
      </c>
      <c r="N31" s="50">
        <f>MAX(J27:J37)</f>
        <v>0.02</v>
      </c>
    </row>
    <row r="32" spans="1:17" x14ac:dyDescent="0.3">
      <c r="A32" s="4"/>
      <c r="B32" s="3"/>
      <c r="C32" s="28"/>
      <c r="D32" s="28"/>
      <c r="E32" s="55"/>
      <c r="I32" s="42"/>
      <c r="J32" s="37">
        <v>0</v>
      </c>
      <c r="M32" s="42" t="s">
        <v>26</v>
      </c>
      <c r="N32" s="51">
        <f>N31/N29</f>
        <v>4.4953922229714542E-4</v>
      </c>
    </row>
    <row r="33" spans="1:14" x14ac:dyDescent="0.3">
      <c r="A33" s="4"/>
      <c r="B33" s="3"/>
      <c r="C33" s="28"/>
      <c r="D33" s="28"/>
      <c r="E33" s="55"/>
      <c r="I33" s="42"/>
      <c r="J33" s="37">
        <v>0</v>
      </c>
      <c r="M33" s="43" t="s">
        <v>7</v>
      </c>
      <c r="N33" s="40" t="str">
        <f>IMSUB(N29,N31)</f>
        <v>44.47</v>
      </c>
    </row>
    <row r="34" spans="1:14" x14ac:dyDescent="0.3">
      <c r="A34" s="4"/>
      <c r="B34" s="3"/>
      <c r="C34" s="28"/>
      <c r="D34" s="28"/>
      <c r="E34" s="55"/>
      <c r="I34" s="42"/>
      <c r="J34" s="37">
        <v>0</v>
      </c>
    </row>
    <row r="35" spans="1:14" x14ac:dyDescent="0.3">
      <c r="A35" s="4"/>
      <c r="B35" s="3"/>
      <c r="C35" s="28"/>
      <c r="D35" s="28"/>
      <c r="E35" s="55"/>
      <c r="I35" s="42"/>
      <c r="J35" s="37">
        <v>0</v>
      </c>
    </row>
    <row r="36" spans="1:14" x14ac:dyDescent="0.3">
      <c r="A36" s="4"/>
      <c r="B36" s="3"/>
      <c r="C36" s="28"/>
      <c r="D36" s="28"/>
      <c r="E36" s="55"/>
      <c r="I36" s="42"/>
      <c r="J36" s="37">
        <v>0</v>
      </c>
    </row>
    <row r="37" spans="1:14" x14ac:dyDescent="0.3">
      <c r="A37" s="4"/>
      <c r="B37" s="3"/>
      <c r="C37" s="28"/>
      <c r="D37" s="28"/>
      <c r="E37" s="55"/>
      <c r="I37" s="43"/>
      <c r="J37" s="40">
        <v>0</v>
      </c>
    </row>
  </sheetData>
  <hyperlinks>
    <hyperlink ref="J11" r:id="rId1" xr:uid="{BA20B47E-88D0-4EF1-A2E2-00F6E980C279}"/>
    <hyperlink ref="J10" r:id="rId2" xr:uid="{CD9BC43A-3032-481D-B65B-024C612AF6EC}"/>
    <hyperlink ref="J9" r:id="rId3" xr:uid="{A3A081F0-5C2C-47D8-9304-30F03B948076}"/>
    <hyperlink ref="J8" r:id="rId4" xr:uid="{65E01671-371C-46F6-830D-4FAB5DAEF3FB}"/>
    <hyperlink ref="J7" r:id="rId5" xr:uid="{5D6193C2-AC05-4A0B-9477-A099E6B1A3C2}"/>
    <hyperlink ref="J6" r:id="rId6" xr:uid="{13309111-5025-4D99-8B4A-33FD81DC5A5C}"/>
    <hyperlink ref="J5" r:id="rId7" xr:uid="{31CE3BAF-6436-4D3E-855E-150FD1868FAB}"/>
    <hyperlink ref="J4" r:id="rId8" xr:uid="{D9C68B0E-B851-402A-A952-A60D3261B96D}"/>
    <hyperlink ref="J3" r:id="rId9" xr:uid="{53C7E376-C015-49E9-9EB4-7CB5F8729160}"/>
    <hyperlink ref="J13" r:id="rId10" xr:uid="{3200FBAB-FB71-4889-B1E3-451A387BDFD9}"/>
    <hyperlink ref="O28" r:id="rId11" xr:uid="{55E69ED0-B1D6-4E7B-AAFE-F85BD9342132}"/>
    <hyperlink ref="O27" r:id="rId12" xr:uid="{3C634968-249A-4108-BD45-0BC83FF40602}"/>
    <hyperlink ref="J12" r:id="rId13" xr:uid="{7FCCDF8B-A08E-439B-9AFD-39EF824FC106}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Taylor</dc:creator>
  <cp:lastModifiedBy>Alistair Taylor</cp:lastModifiedBy>
  <dcterms:created xsi:type="dcterms:W3CDTF">2026-09-04T17:26:05Z</dcterms:created>
  <dcterms:modified xsi:type="dcterms:W3CDTF">2026-10-23T21:11:25Z</dcterms:modified>
</cp:coreProperties>
</file>